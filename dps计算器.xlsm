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D:\OneDrive\数值\"/>
    </mc:Choice>
  </mc:AlternateContent>
  <xr:revisionPtr revIDLastSave="0" documentId="8_{D759F432-05C2-4643-86FC-58D88059F10E}" xr6:coauthVersionLast="45" xr6:coauthVersionMax="45" xr10:uidLastSave="{00000000-0000-0000-0000-000000000000}"/>
  <bookViews>
    <workbookView xWindow="-120" yWindow="-120" windowWidth="29040" windowHeight="15840" activeTab="2" xr2:uid="{00000000-000D-0000-FFFF-FFFF00000000}"/>
  </bookViews>
  <sheets>
    <sheet name="Sheet1" sheetId="1" r:id="rId1"/>
    <sheet name="Sheet2" sheetId="2" r:id="rId2"/>
    <sheet name="VBA版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11" i="2" l="1"/>
  <c r="O11" i="2"/>
  <c r="I6" i="2" s="1"/>
  <c r="B3" i="2"/>
  <c r="B8" i="2"/>
  <c r="B10" i="1"/>
  <c r="D5" i="2"/>
  <c r="D4" i="2"/>
  <c r="B14" i="1"/>
  <c r="D12" i="2"/>
  <c r="E12" i="2" s="1"/>
  <c r="F12" i="2" s="1"/>
  <c r="G12" i="2" s="1"/>
  <c r="H12" i="2" s="1"/>
  <c r="I12" i="2" s="1"/>
  <c r="C3" i="2"/>
  <c r="B13" i="1"/>
  <c r="B26" i="2" s="1"/>
  <c r="B25" i="2" l="1"/>
  <c r="H3" i="2" s="1"/>
  <c r="B27" i="2"/>
  <c r="F13" i="2" s="1"/>
  <c r="B24" i="2"/>
  <c r="B11" i="1" s="1"/>
  <c r="C13" i="2"/>
  <c r="E13" i="2" l="1"/>
  <c r="D13" i="2"/>
  <c r="G13" i="2"/>
  <c r="I13" i="2"/>
  <c r="H13" i="2"/>
  <c r="H6" i="2"/>
  <c r="H2" i="2"/>
  <c r="H7" i="2"/>
  <c r="I14" i="2" l="1"/>
  <c r="H5" i="2" s="1"/>
  <c r="R10" i="2" s="1"/>
  <c r="R12" i="2" s="1"/>
  <c r="G14" i="2"/>
  <c r="H4" i="2" s="1"/>
  <c r="O10" i="2" l="1"/>
  <c r="O12" i="2" s="1"/>
  <c r="O13" i="2" s="1"/>
  <c r="B16" i="1" s="1"/>
</calcChain>
</file>

<file path=xl/sharedStrings.xml><?xml version="1.0" encoding="utf-8"?>
<sst xmlns="http://schemas.openxmlformats.org/spreadsheetml/2006/main" count="57" uniqueCount="49">
  <si>
    <t>属性</t>
    <phoneticPr fontId="1" type="noConversion"/>
  </si>
  <si>
    <t>内功</t>
    <phoneticPr fontId="1" type="noConversion"/>
  </si>
  <si>
    <t>会心</t>
    <phoneticPr fontId="1" type="noConversion"/>
  </si>
  <si>
    <t>会效</t>
    <phoneticPr fontId="1" type="noConversion"/>
  </si>
  <si>
    <t>加速</t>
    <phoneticPr fontId="1" type="noConversion"/>
  </si>
  <si>
    <t>破防</t>
    <phoneticPr fontId="1" type="noConversion"/>
  </si>
  <si>
    <t>无双</t>
    <phoneticPr fontId="1" type="noConversion"/>
  </si>
  <si>
    <t>破招</t>
    <phoneticPr fontId="1" type="noConversion"/>
  </si>
  <si>
    <t>循环</t>
    <phoneticPr fontId="1" type="noConversion"/>
  </si>
  <si>
    <t>羽</t>
    <phoneticPr fontId="1" type="noConversion"/>
  </si>
  <si>
    <t>徵</t>
    <phoneticPr fontId="1" type="noConversion"/>
  </si>
  <si>
    <t>宫</t>
    <phoneticPr fontId="1" type="noConversion"/>
  </si>
  <si>
    <t>破招系数</t>
    <phoneticPr fontId="1" type="noConversion"/>
  </si>
  <si>
    <t>伤害系数</t>
    <phoneticPr fontId="1" type="noConversion"/>
  </si>
  <si>
    <t>会心提升</t>
    <phoneticPr fontId="1" type="noConversion"/>
  </si>
  <si>
    <t>伤害提升</t>
    <phoneticPr fontId="1" type="noConversion"/>
  </si>
  <si>
    <t>最终伤害</t>
    <phoneticPr fontId="1" type="noConversion"/>
  </si>
  <si>
    <t>宫+1阳春</t>
    <phoneticPr fontId="1" type="noConversion"/>
  </si>
  <si>
    <t>1羽徵</t>
    <phoneticPr fontId="1" type="noConversion"/>
  </si>
  <si>
    <t>3羽徵</t>
    <phoneticPr fontId="1" type="noConversion"/>
  </si>
  <si>
    <t>目标等级</t>
    <phoneticPr fontId="1" type="noConversion"/>
  </si>
  <si>
    <t>防御</t>
    <phoneticPr fontId="1" type="noConversion"/>
  </si>
  <si>
    <t>无视防御</t>
    <phoneticPr fontId="1" type="noConversion"/>
  </si>
  <si>
    <t>会效提升</t>
    <phoneticPr fontId="1" type="noConversion"/>
  </si>
  <si>
    <t>疏影横斜</t>
    <phoneticPr fontId="1" type="noConversion"/>
  </si>
  <si>
    <t>5次</t>
    <phoneticPr fontId="1" type="noConversion"/>
  </si>
  <si>
    <t>1:0,23:1,45:2,67:3</t>
    <phoneticPr fontId="1" type="noConversion"/>
  </si>
  <si>
    <t>1：0,23:1,45:2</t>
    <phoneticPr fontId="1" type="noConversion"/>
  </si>
  <si>
    <t>24次</t>
    <phoneticPr fontId="1" type="noConversion"/>
  </si>
  <si>
    <t>增益列表</t>
    <phoneticPr fontId="1" type="noConversion"/>
  </si>
  <si>
    <t>秘籍</t>
    <phoneticPr fontId="1" type="noConversion"/>
  </si>
  <si>
    <t>最终系数</t>
    <phoneticPr fontId="1" type="noConversion"/>
  </si>
  <si>
    <t>防御值</t>
    <phoneticPr fontId="1" type="noConversion"/>
  </si>
  <si>
    <t>公式系数</t>
    <phoneticPr fontId="1" type="noConversion"/>
  </si>
  <si>
    <t>木桩等级</t>
    <phoneticPr fontId="1" type="noConversion"/>
  </si>
  <si>
    <t>系数</t>
    <phoneticPr fontId="1" type="noConversion"/>
  </si>
  <si>
    <t>boss防御减免</t>
    <phoneticPr fontId="1" type="noConversion"/>
  </si>
  <si>
    <t>广雅，奇穴1，阳春破防+会心，套装</t>
    <phoneticPr fontId="1" type="noConversion"/>
  </si>
  <si>
    <t>2,3奇穴，阳春，书离，套装</t>
    <phoneticPr fontId="1" type="noConversion"/>
  </si>
  <si>
    <t>不会心伤害</t>
    <phoneticPr fontId="1" type="noConversion"/>
  </si>
  <si>
    <t>阳春白雪*8</t>
    <phoneticPr fontId="1" type="noConversion"/>
  </si>
  <si>
    <t>rung sum</t>
    <phoneticPr fontId="1" type="noConversion"/>
  </si>
  <si>
    <t>一套循环里总伤害</t>
    <phoneticPr fontId="1" type="noConversion"/>
  </si>
  <si>
    <t>循环时间</t>
    <phoneticPr fontId="1" type="noConversion"/>
  </si>
  <si>
    <t>破招伤害</t>
    <phoneticPr fontId="1" type="noConversion"/>
  </si>
  <si>
    <t>木桩dps</t>
    <phoneticPr fontId="1" type="noConversion"/>
  </si>
  <si>
    <t>循环dps</t>
    <phoneticPr fontId="1" type="noConversion"/>
  </si>
  <si>
    <t>5分钟dps</t>
    <phoneticPr fontId="1" type="noConversion"/>
  </si>
  <si>
    <t>爆发循环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</si>
</sst>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[Red]\(0.00\)"/>
  </numFmts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0" fontId="0" fillId="0" borderId="0" xfId="0" applyNumberFormat="1"/>
    <xf numFmtId="176" fontId="0" fillId="0" borderId="0" xfId="0" applyNumberFormat="1"/>
    <xf numFmtId="9" fontId="0" fillId="0" borderId="0" xfId="0" applyNumberFormat="1"/>
    <xf numFmtId="0" fontId="0" fillId="0" borderId="0" xfId="0" applyNumberFormat="1"/>
    <xf numFmtId="1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11</xdr:row>
      <xdr:rowOff>66675</xdr:rowOff>
    </xdr:from>
    <xdr:to>
      <xdr:col>3</xdr:col>
      <xdr:colOff>371475</xdr:colOff>
      <xdr:row>17</xdr:row>
      <xdr:rowOff>123825</xdr:rowOff>
    </xdr:to>
    <xdr:sp macro="[0]!矩形1_Click" textlink="">
      <xdr:nvSpPr>
        <xdr:cNvPr id="2" name="矩形 1">
          <a:extLst>
            <a:ext uri="{FF2B5EF4-FFF2-40B4-BE49-F238E27FC236}">
              <a16:creationId xmlns:a16="http://schemas.microsoft.com/office/drawing/2014/main" id="{7D4F70A5-F6A0-4426-954E-14FCF6D7F3E4}"/>
            </a:ext>
          </a:extLst>
        </xdr:cNvPr>
        <xdr:cNvSpPr/>
      </xdr:nvSpPr>
      <xdr:spPr>
        <a:xfrm>
          <a:off x="419100" y="2057400"/>
          <a:ext cx="2009775" cy="1143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6"/>
  <sheetViews>
    <sheetView workbookViewId="0">
      <selection activeCell="B3" sqref="B3"/>
    </sheetView>
  </sheetViews>
  <sheetFormatPr defaultRowHeight="14.25" x14ac:dyDescent="0.2"/>
  <cols>
    <col min="2" max="2" width="13.125" bestFit="1" customWidth="1"/>
  </cols>
  <sheetData>
    <row r="1" spans="1:17" x14ac:dyDescent="0.2">
      <c r="A1" t="s">
        <v>0</v>
      </c>
      <c r="J1" t="s">
        <v>8</v>
      </c>
    </row>
    <row r="2" spans="1:17" x14ac:dyDescent="0.2">
      <c r="J2" t="s">
        <v>9</v>
      </c>
      <c r="K2" t="s">
        <v>9</v>
      </c>
      <c r="L2" t="s">
        <v>9</v>
      </c>
      <c r="M2" t="s">
        <v>10</v>
      </c>
      <c r="N2" t="s">
        <v>11</v>
      </c>
      <c r="O2" t="s">
        <v>9</v>
      </c>
      <c r="P2" t="s">
        <v>10</v>
      </c>
      <c r="Q2" t="s">
        <v>11</v>
      </c>
    </row>
    <row r="3" spans="1:17" x14ac:dyDescent="0.2">
      <c r="A3" t="s">
        <v>1</v>
      </c>
      <c r="B3">
        <v>16527</v>
      </c>
      <c r="J3">
        <v>1.38</v>
      </c>
      <c r="K3">
        <v>1.38</v>
      </c>
      <c r="L3">
        <v>1.38</v>
      </c>
      <c r="M3">
        <v>5.25</v>
      </c>
      <c r="N3">
        <v>2.75</v>
      </c>
      <c r="O3">
        <v>1.38</v>
      </c>
      <c r="P3">
        <v>3.5</v>
      </c>
      <c r="Q3">
        <v>2.75</v>
      </c>
    </row>
    <row r="4" spans="1:17" x14ac:dyDescent="0.2">
      <c r="A4" t="s">
        <v>2</v>
      </c>
      <c r="B4" s="1">
        <v>0.19600000000000001</v>
      </c>
      <c r="J4" t="s">
        <v>7</v>
      </c>
    </row>
    <row r="5" spans="1:17" x14ac:dyDescent="0.2">
      <c r="A5" t="s">
        <v>3</v>
      </c>
      <c r="B5" s="1">
        <v>1.901</v>
      </c>
      <c r="J5">
        <v>9.06</v>
      </c>
    </row>
    <row r="6" spans="1:17" x14ac:dyDescent="0.2">
      <c r="A6" t="s">
        <v>4</v>
      </c>
      <c r="B6" s="1">
        <v>7.2300000000000003E-2</v>
      </c>
    </row>
    <row r="7" spans="1:17" x14ac:dyDescent="0.2">
      <c r="A7" t="s">
        <v>5</v>
      </c>
      <c r="B7" s="1">
        <v>0.24809999999999999</v>
      </c>
    </row>
    <row r="8" spans="1:17" x14ac:dyDescent="0.2">
      <c r="A8" t="s">
        <v>6</v>
      </c>
      <c r="B8" s="1">
        <v>0.30830000000000002</v>
      </c>
    </row>
    <row r="9" spans="1:17" x14ac:dyDescent="0.2">
      <c r="A9" t="s">
        <v>7</v>
      </c>
      <c r="B9" s="2">
        <v>4086</v>
      </c>
      <c r="C9" t="s">
        <v>12</v>
      </c>
      <c r="D9">
        <v>14.5</v>
      </c>
    </row>
    <row r="10" spans="1:17" x14ac:dyDescent="0.2">
      <c r="A10" t="s">
        <v>39</v>
      </c>
      <c r="B10">
        <f>B3*(1+B7)*(1+B8)</f>
        <v>26986.760304209998</v>
      </c>
    </row>
    <row r="11" spans="1:17" x14ac:dyDescent="0.2">
      <c r="A11" t="s">
        <v>44</v>
      </c>
      <c r="B11">
        <f>B9*(1+B7)*(1+B8)*(1+B4*(1-B5))*Sheet2!B24*D9</f>
        <v>59743.401102713768</v>
      </c>
      <c r="D11" t="s">
        <v>34</v>
      </c>
      <c r="E11" t="s">
        <v>32</v>
      </c>
      <c r="F11" t="s">
        <v>33</v>
      </c>
    </row>
    <row r="12" spans="1:17" x14ac:dyDescent="0.2">
      <c r="A12" t="s">
        <v>20</v>
      </c>
      <c r="B12">
        <v>112</v>
      </c>
      <c r="D12">
        <v>112</v>
      </c>
      <c r="E12">
        <v>7060</v>
      </c>
      <c r="F12">
        <v>21178.560000000001</v>
      </c>
    </row>
    <row r="13" spans="1:17" x14ac:dyDescent="0.2">
      <c r="A13" t="s">
        <v>21</v>
      </c>
      <c r="B13">
        <f>VLOOKUP(B12,D12:E14,2)</f>
        <v>7060</v>
      </c>
      <c r="D13">
        <v>113</v>
      </c>
      <c r="E13">
        <v>11966</v>
      </c>
      <c r="F13">
        <v>22222.22</v>
      </c>
    </row>
    <row r="14" spans="1:17" x14ac:dyDescent="0.2">
      <c r="A14" t="s">
        <v>35</v>
      </c>
      <c r="B14">
        <f>VLOOKUP(B12,D12:F13,3)</f>
        <v>21178.560000000001</v>
      </c>
    </row>
    <row r="16" spans="1:17" x14ac:dyDescent="0.2">
      <c r="A16" t="s">
        <v>45</v>
      </c>
      <c r="B16" s="5">
        <f>Sheet2!O13</f>
        <v>90074.249476057797</v>
      </c>
    </row>
  </sheetData>
  <phoneticPr fontId="1" type="noConversion"/>
  <dataValidations xWindow="137" yWindow="502" count="1">
    <dataValidation type="list" allowBlank="1" showInputMessage="1" showErrorMessage="1" sqref="B12" xr:uid="{2D474445-66C4-4630-872D-D42B91891137}">
      <formula1>$D$12:$D$13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CA983-2B21-4E9F-B389-2E4517A74878}">
  <sheetPr codeName="Sheet2"/>
  <dimension ref="A1:R27"/>
  <sheetViews>
    <sheetView workbookViewId="0">
      <selection activeCell="O13" sqref="O13"/>
    </sheetView>
  </sheetViews>
  <sheetFormatPr defaultRowHeight="14.25" x14ac:dyDescent="0.2"/>
  <sheetData>
    <row r="1" spans="1:18" x14ac:dyDescent="0.2">
      <c r="B1" t="s">
        <v>13</v>
      </c>
      <c r="C1" t="s">
        <v>14</v>
      </c>
      <c r="D1" t="s">
        <v>15</v>
      </c>
      <c r="E1" t="s">
        <v>23</v>
      </c>
      <c r="F1" t="s">
        <v>22</v>
      </c>
      <c r="G1" t="s">
        <v>31</v>
      </c>
      <c r="H1" t="s">
        <v>16</v>
      </c>
      <c r="J1" t="s">
        <v>29</v>
      </c>
    </row>
    <row r="2" spans="1:18" x14ac:dyDescent="0.2">
      <c r="A2" t="s">
        <v>9</v>
      </c>
      <c r="B2">
        <v>0.86</v>
      </c>
      <c r="C2" s="3">
        <v>7.0000000000000007E-2</v>
      </c>
      <c r="D2" s="3">
        <v>7.0000000000000007E-2</v>
      </c>
      <c r="E2" s="3"/>
      <c r="F2">
        <v>0</v>
      </c>
      <c r="G2" s="2"/>
      <c r="H2">
        <f>B2*Sheet1!B10*(1+D2)*B24</f>
        <v>18624.596037054474</v>
      </c>
      <c r="I2">
        <v>4</v>
      </c>
      <c r="J2" t="s">
        <v>30</v>
      </c>
    </row>
    <row r="3" spans="1:18" x14ac:dyDescent="0.2">
      <c r="A3" t="s">
        <v>17</v>
      </c>
      <c r="B3">
        <f>1.25</f>
        <v>1.25</v>
      </c>
      <c r="C3" s="3">
        <f>4%+10%+5%</f>
        <v>0.19</v>
      </c>
      <c r="D3" s="3">
        <v>1.5</v>
      </c>
      <c r="E3" s="3">
        <v>0.1</v>
      </c>
      <c r="F3" s="3">
        <v>0.3</v>
      </c>
      <c r="G3" s="4"/>
      <c r="H3">
        <f>B3*Sheet1!B10*(1+D3)*(1+(Sheet1!B4+Sheet2!C3)*(Sheet1!B5+Sheet2!E3-1))*Sheet2!B25</f>
        <v>94797.935974352673</v>
      </c>
      <c r="I3" s="4">
        <v>2</v>
      </c>
      <c r="J3" t="s">
        <v>37</v>
      </c>
    </row>
    <row r="4" spans="1:18" x14ac:dyDescent="0.2">
      <c r="A4" t="s">
        <v>18</v>
      </c>
      <c r="B4">
        <v>0.64</v>
      </c>
      <c r="C4" s="3">
        <v>0.09</v>
      </c>
      <c r="D4" s="3">
        <f>10%+15%</f>
        <v>0.25</v>
      </c>
      <c r="F4" s="3">
        <v>0.8</v>
      </c>
      <c r="G4" s="3"/>
      <c r="H4">
        <f>G14</f>
        <v>365141.21936569363</v>
      </c>
      <c r="I4">
        <v>1</v>
      </c>
      <c r="J4" t="s">
        <v>38</v>
      </c>
      <c r="O4" t="s">
        <v>25</v>
      </c>
      <c r="P4" t="s">
        <v>27</v>
      </c>
    </row>
    <row r="5" spans="1:18" x14ac:dyDescent="0.2">
      <c r="A5" t="s">
        <v>19</v>
      </c>
      <c r="B5">
        <v>0.64</v>
      </c>
      <c r="C5" s="3">
        <v>0.09</v>
      </c>
      <c r="D5" s="3">
        <f>10%+15%</f>
        <v>0.25</v>
      </c>
      <c r="F5" s="3">
        <v>0.8</v>
      </c>
      <c r="G5" s="3"/>
      <c r="H5">
        <f>I14</f>
        <v>797390.00432256691</v>
      </c>
      <c r="I5">
        <v>1</v>
      </c>
      <c r="O5">
        <v>7</v>
      </c>
      <c r="P5" t="s">
        <v>26</v>
      </c>
    </row>
    <row r="6" spans="1:18" x14ac:dyDescent="0.2">
      <c r="A6" t="s">
        <v>24</v>
      </c>
      <c r="B6">
        <v>0.254</v>
      </c>
      <c r="C6" t="s">
        <v>28</v>
      </c>
      <c r="H6">
        <f>Sheet1!B10*Sheet2!B6*24*(1+(Sheet1!B4*(Sheet1!B5-1)))*Sheet2!B24</f>
        <v>145170.02739836017</v>
      </c>
      <c r="I6">
        <f>O11/25</f>
        <v>0.79079999999999995</v>
      </c>
    </row>
    <row r="7" spans="1:18" x14ac:dyDescent="0.2">
      <c r="A7" t="s">
        <v>40</v>
      </c>
      <c r="B7">
        <v>0.33</v>
      </c>
      <c r="C7" s="2"/>
      <c r="H7">
        <f>Sheet1!B10*B7*(1+(Sheet1!B4*(Sheet1!B5-1)))*Sheet2!B24</f>
        <v>7858.6136879033565</v>
      </c>
      <c r="I7">
        <v>8</v>
      </c>
    </row>
    <row r="8" spans="1:18" x14ac:dyDescent="0.2">
      <c r="B8">
        <f>Sheet1!B3*Sheet2!B2</f>
        <v>14213.22</v>
      </c>
    </row>
    <row r="9" spans="1:18" x14ac:dyDescent="0.2">
      <c r="A9" t="s">
        <v>7</v>
      </c>
    </row>
    <row r="10" spans="1:18" x14ac:dyDescent="0.2">
      <c r="M10" t="s">
        <v>42</v>
      </c>
      <c r="O10">
        <f>H2*I2+H3*I3+H4*I4+H5*I5+H6*I6+H7*I7+Sheet1!B11*O11/Sheet1!J5</f>
        <v>1734662.0698910882</v>
      </c>
      <c r="Q10" t="s">
        <v>48</v>
      </c>
      <c r="R10">
        <f>H2*3+H5+H3+H7*4+H6*3</f>
        <v>1415006.2653547768</v>
      </c>
    </row>
    <row r="11" spans="1:18" x14ac:dyDescent="0.2">
      <c r="C11">
        <v>1</v>
      </c>
      <c r="D11">
        <v>2</v>
      </c>
      <c r="E11">
        <v>3</v>
      </c>
      <c r="F11">
        <v>4</v>
      </c>
      <c r="G11">
        <v>5</v>
      </c>
      <c r="H11">
        <v>6</v>
      </c>
      <c r="I11">
        <v>7</v>
      </c>
      <c r="M11" t="s">
        <v>43</v>
      </c>
      <c r="O11">
        <f>SUM(Sheet1!J3:Q3)</f>
        <v>19.77</v>
      </c>
      <c r="R11">
        <f>SUM(Sheet1!J3:N3)</f>
        <v>12.14</v>
      </c>
    </row>
    <row r="12" spans="1:18" x14ac:dyDescent="0.2">
      <c r="C12">
        <v>0.64</v>
      </c>
      <c r="D12">
        <f t="shared" ref="D12:I12" si="0">C12*1.38</f>
        <v>0.88319999999999999</v>
      </c>
      <c r="E12">
        <f t="shared" si="0"/>
        <v>1.2188159999999999</v>
      </c>
      <c r="F12">
        <f t="shared" si="0"/>
        <v>1.6819660799999998</v>
      </c>
      <c r="G12">
        <f t="shared" si="0"/>
        <v>2.3211131903999997</v>
      </c>
      <c r="H12">
        <f t="shared" si="0"/>
        <v>3.2031362027519994</v>
      </c>
      <c r="I12">
        <f t="shared" si="0"/>
        <v>4.4203279597977589</v>
      </c>
      <c r="M12" t="s">
        <v>46</v>
      </c>
      <c r="O12">
        <f>O10/O11</f>
        <v>87742.138082503196</v>
      </c>
      <c r="R12">
        <f>R10/R11</f>
        <v>116557.35299462741</v>
      </c>
    </row>
    <row r="13" spans="1:18" x14ac:dyDescent="0.2">
      <c r="C13">
        <f>Sheet1!B10*Sheet2!C12*(1+Sheet2!D4)*(1+(Sheet2!B4+Sheet2!C4)*(Sheet1!B5-1))*B26</f>
        <v>30676.338939774305</v>
      </c>
      <c r="D13">
        <f>Sheet1!B10*D12*(1+Sheet2!D4)*(1+(Sheet2!B4+Sheet2!C4+5%)*(Sheet1!B5-1))*B27</f>
        <v>47560.651647853098</v>
      </c>
      <c r="E13">
        <f>Sheet1!B10*E12*(1+Sheet2!D4)*(1+(Sheet2!B4+Sheet2!C4+5%)*(Sheet1!B5-1))*B27</f>
        <v>65633.699274037266</v>
      </c>
      <c r="F13">
        <f>Sheet1!B10*F12*(1+Sheet2!D4)*(1+(Sheet2!B4+Sheet2!C4+10%)*(Sheet1!B5-1))*B27</f>
        <v>92970.810715978543</v>
      </c>
      <c r="G13">
        <f>Sheet1!B10*G12*(1+Sheet2!D4)*(1+(Sheet2!B4+Sheet2!C4+10%)*(Sheet1!B5-1))*B27</f>
        <v>128299.71878805041</v>
      </c>
      <c r="H13">
        <f>Sheet1!B10*H12*(1+Sheet2!D4)*(1+(Sheet2!B4+Sheet2!C4+15%)*(Sheet1!B5-1))*B27</f>
        <v>181617.13653650141</v>
      </c>
      <c r="I13">
        <f>Sheet1!B10*I12*(1+Sheet2!D4)*(1+(Sheet2!B4+Sheet2!C4+15%)*(Sheet1!B5-1))*B27</f>
        <v>250631.64842037196</v>
      </c>
      <c r="M13" t="s">
        <v>47</v>
      </c>
      <c r="O13">
        <f>12.14*2/300*R12+(300-12.14*2)/300*O12</f>
        <v>90074.249476057797</v>
      </c>
    </row>
    <row r="14" spans="1:18" x14ac:dyDescent="0.2">
      <c r="B14" t="s">
        <v>41</v>
      </c>
      <c r="G14">
        <f>SUM(C13:G13)</f>
        <v>365141.21936569363</v>
      </c>
      <c r="I14">
        <f>SUM(C13:I13)</f>
        <v>797390.00432256691</v>
      </c>
    </row>
    <row r="23" spans="1:2" x14ac:dyDescent="0.2">
      <c r="A23" t="s">
        <v>36</v>
      </c>
    </row>
    <row r="24" spans="1:2" x14ac:dyDescent="0.2">
      <c r="A24">
        <v>0</v>
      </c>
      <c r="B24" s="1">
        <f>1-(Sheet1!B13*(1-A24))/(Sheet1!B13*(1-A24)+Sheet1!B14)</f>
        <v>0.74998725147457945</v>
      </c>
    </row>
    <row r="25" spans="1:2" x14ac:dyDescent="0.2">
      <c r="A25" s="3">
        <v>0.3</v>
      </c>
      <c r="B25" s="1">
        <f>1-(Sheet1!B13*(1-A25))/(Sheet1!B13*(1-A25)+Sheet1!B14)</f>
        <v>0.81080038100255125</v>
      </c>
    </row>
    <row r="26" spans="1:2" x14ac:dyDescent="0.2">
      <c r="A26" s="3">
        <v>0.5</v>
      </c>
      <c r="B26" s="1">
        <f>1-(Sheet1!B13*0.5)/(Sheet1!B13*0.5+Sheet1!B14)</f>
        <v>0.85713453151458441</v>
      </c>
    </row>
    <row r="27" spans="1:2" x14ac:dyDescent="0.2">
      <c r="A27" s="3">
        <v>0.8</v>
      </c>
      <c r="B27" s="1">
        <f>1-(Sheet1!B13*0.2)/(Sheet1!B13*0.2+Sheet1!B14)</f>
        <v>0.93749601603501642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31E07-C320-46C9-B8E4-44DAB72B01E2}">
  <sheetPr codeName="Sheet3"/>
  <dimension ref="A1"/>
  <sheetViews>
    <sheetView tabSelected="1" workbookViewId="0">
      <selection activeCell="L17" sqref="L17"/>
    </sheetView>
  </sheetViews>
  <sheetFormatPr defaultRowHeight="14.25" x14ac:dyDescent="0.2"/>
  <sheetData>
    <row r="1" spans="1:1" x14ac:dyDescent="0.2">
      <c r="A1">
        <v>16527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VBA版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孙甘杰</dc:creator>
  <cp:lastModifiedBy>孙甘杰</cp:lastModifiedBy>
  <dcterms:created xsi:type="dcterms:W3CDTF">2015-06-05T18:17:20Z</dcterms:created>
  <dcterms:modified xsi:type="dcterms:W3CDTF">2020-12-25T11:30:59Z</dcterms:modified>
</cp:coreProperties>
</file>